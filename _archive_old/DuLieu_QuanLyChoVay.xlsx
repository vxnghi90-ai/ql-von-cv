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D:\Projects\quan-ly-vay-tien\"/>
    </mc:Choice>
  </mc:AlternateContent>
  <xr:revisionPtr revIDLastSave="0" documentId="13_ncr:1_{605A4E96-8088-4BA0-9B3F-6A0FC4230BC8}" xr6:coauthVersionLast="47" xr6:coauthVersionMax="47" xr10:uidLastSave="{00000000-0000-0000-0000-000000000000}"/>
  <bookViews>
    <workbookView xWindow="-120" yWindow="-120" windowWidth="29040" windowHeight="15720" tabRatio="685" activeTab="2" xr2:uid="{00000000-000D-0000-FFFF-FFFF00000000}"/>
  </bookViews>
  <sheets>
    <sheet name="KhachHang" sheetId="1" r:id="rId1"/>
    <sheet name="HopDong" sheetId="15" r:id="rId2"/>
    <sheet name="NguonVon" sheetId="16" r:id="rId3"/>
  </sheets>
  <definedNames>
    <definedName name="_xlnm._FilterDatabase" localSheetId="1" hidden="1">HopDong!$A$1:$G$1</definedName>
  </definedNames>
  <calcPr calcId="191028" iterateDelta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16" l="1"/>
</calcChain>
</file>

<file path=xl/sharedStrings.xml><?xml version="1.0" encoding="utf-8"?>
<sst xmlns="http://schemas.openxmlformats.org/spreadsheetml/2006/main" count="164" uniqueCount="103">
  <si>
    <t>MaHopDong</t>
  </si>
  <si>
    <t>MaKH</t>
  </si>
  <si>
    <t>TenKh</t>
  </si>
  <si>
    <t>SoTienVay</t>
  </si>
  <si>
    <t>LaiNgayTrenTrieu</t>
  </si>
  <si>
    <t>NgayVay</t>
  </si>
  <si>
    <t>KH20</t>
  </si>
  <si>
    <t>KH19</t>
  </si>
  <si>
    <t>HDVT1</t>
  </si>
  <si>
    <t>TenKhachHang</t>
  </si>
  <si>
    <t>SoDienThoai</t>
  </si>
  <si>
    <t>DiaChi</t>
  </si>
  <si>
    <t>KH1</t>
  </si>
  <si>
    <t>Trọng (KHX 1)</t>
  </si>
  <si>
    <t>0587560719</t>
  </si>
  <si>
    <t>Tiên Lãng, Hải Phòng, Việt Nam</t>
  </si>
  <si>
    <t>KH2</t>
  </si>
  <si>
    <t>A Cường (KHX 2)</t>
  </si>
  <si>
    <t>0934386286</t>
  </si>
  <si>
    <t>KH3</t>
  </si>
  <si>
    <t>Bằng (KHX 3)</t>
  </si>
  <si>
    <t>0898263358</t>
  </si>
  <si>
    <t>KH4</t>
  </si>
  <si>
    <t>Bạn Anh Công Văn (KHX 4)</t>
  </si>
  <si>
    <t>KH5</t>
  </si>
  <si>
    <t>Minh Quyến (KHX 5)</t>
  </si>
  <si>
    <t>0924249026</t>
  </si>
  <si>
    <t>KH6</t>
  </si>
  <si>
    <t>Đạt (KHX 6)</t>
  </si>
  <si>
    <t>0366744487</t>
  </si>
  <si>
    <t>KH7</t>
  </si>
  <si>
    <t>KH8</t>
  </si>
  <si>
    <t>Hiểu (KHX 8)</t>
  </si>
  <si>
    <t>0967213629</t>
  </si>
  <si>
    <t>Trần Đình Cương (KHX 9)</t>
  </si>
  <si>
    <t>0876335773</t>
  </si>
  <si>
    <t>KH10</t>
  </si>
  <si>
    <t>Hiếu Mb (KHX 10)</t>
  </si>
  <si>
    <t>0772348739</t>
  </si>
  <si>
    <t>JG6M+77C, Tam Cường, Vĩnh Bảo, Hải Phòng, Việt Nam</t>
  </si>
  <si>
    <t>KH11</t>
  </si>
  <si>
    <t>Nguyễn Văn Ba (KHX 11)</t>
  </si>
  <si>
    <t>KH12</t>
  </si>
  <si>
    <t>Nguyễn Thành Luân (KHX12)</t>
  </si>
  <si>
    <t>0562186268</t>
  </si>
  <si>
    <t>KH13</t>
  </si>
  <si>
    <t>SH mode (KHX 13)</t>
  </si>
  <si>
    <t>KH14</t>
  </si>
  <si>
    <t>Ngô Quan Kiên (KHX 14)</t>
  </si>
  <si>
    <t>0523422886</t>
  </si>
  <si>
    <t>KH15</t>
  </si>
  <si>
    <t>Phạm Anh Hùng (KHX 15)</t>
  </si>
  <si>
    <t>0326233193</t>
  </si>
  <si>
    <t>KH16</t>
  </si>
  <si>
    <t>Phạm Trung Kiên (KHX 16)</t>
  </si>
  <si>
    <t>0795639445</t>
  </si>
  <si>
    <t>KH17</t>
  </si>
  <si>
    <t>Anh Nghĩa (Vinhome) (KHX 17)</t>
  </si>
  <si>
    <t>KH18</t>
  </si>
  <si>
    <t>Hiếu LG</t>
  </si>
  <si>
    <t>KH21</t>
  </si>
  <si>
    <t>Công Văn (KHX 18)</t>
  </si>
  <si>
    <t>KH22</t>
  </si>
  <si>
    <t>Cường Cá (KHX19)</t>
  </si>
  <si>
    <t>KH23</t>
  </si>
  <si>
    <t>Đoàn Thế Vinh (KHX 20)</t>
  </si>
  <si>
    <t>Nghĩa Vinhome</t>
  </si>
  <si>
    <t>LAPTOP</t>
  </si>
  <si>
    <t>KH26</t>
  </si>
  <si>
    <t>Hoang Long LG</t>
  </si>
  <si>
    <t>HDVT2</t>
  </si>
  <si>
    <t>HDVT3</t>
  </si>
  <si>
    <t>HDVT4</t>
  </si>
  <si>
    <t>HDVT5</t>
  </si>
  <si>
    <t>HDVT6</t>
  </si>
  <si>
    <t>HDVT7</t>
  </si>
  <si>
    <t>HDVT8</t>
  </si>
  <si>
    <t>HDVT9</t>
  </si>
  <si>
    <t>HDVT10</t>
  </si>
  <si>
    <t>HDVT11</t>
  </si>
  <si>
    <t>HDVT12</t>
  </si>
  <si>
    <t>HDVT13</t>
  </si>
  <si>
    <t>HDVT14</t>
  </si>
  <si>
    <t>HDVT15</t>
  </si>
  <si>
    <t>HDVT16</t>
  </si>
  <si>
    <t>HDVT18</t>
  </si>
  <si>
    <t>HDVT17</t>
  </si>
  <si>
    <t>HDVT19</t>
  </si>
  <si>
    <t>HDVT20</t>
  </si>
  <si>
    <t>KH9</t>
  </si>
  <si>
    <t>STT</t>
  </si>
  <si>
    <t>Mã Nguồn</t>
  </si>
  <si>
    <t>Tên Nguồn</t>
  </si>
  <si>
    <t>Vốn Hiện Tại</t>
  </si>
  <si>
    <t>NGUON_TU_CO</t>
  </si>
  <si>
    <t>Vốn Tự Có</t>
  </si>
  <si>
    <t>Vay Ngân Hàng Techcombank</t>
  </si>
  <si>
    <t>Vay Ngân Hàng VPBank</t>
  </si>
  <si>
    <t>LAISUAT</t>
  </si>
  <si>
    <t>Vay Ngân Hàng</t>
  </si>
  <si>
    <t>VAY_THE_TIN_DUNG_TECHCOMBANK</t>
  </si>
  <si>
    <t>VAY_THE_TIN_DUNG_VPBANK</t>
  </si>
  <si>
    <t>VAY_NGAN_HANG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</si>
</sst>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(* #,##0_);_(* \(#,##0\);_(* &quot;-&quot;??_);_(@_)"/>
  </numFmts>
  <fonts count="8" x14ac:knownFonts="1">
    <font>
      <sz val="10"/>
      <color rgb="FF000000"/>
      <name val="Arial"/>
      <scheme val="minor"/>
    </font>
    <font>
      <sz val="10"/>
      <color theme="1"/>
      <name val="Arial"/>
      <family val="2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sz val="8"/>
      <name val="Arial"/>
      <scheme val="minor"/>
    </font>
    <font>
      <b/>
      <sz val="10"/>
      <name val="Arial"/>
      <family val="2"/>
      <scheme val="minor"/>
    </font>
    <font>
      <b/>
      <sz val="10"/>
      <name val="Arial"/>
      <family val="2"/>
      <scheme val="minor"/>
    </font>
    <font>
      <b/>
      <sz val="10"/>
      <color rgb="FF00000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8FAFC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164" fontId="3" fillId="0" borderId="0" applyFont="0" applyFill="0" applyBorder="0" applyAlignment="0" applyProtection="0"/>
  </cellStyleXfs>
  <cellXfs count="25">
    <xf numFmtId="0" fontId="0" fillId="0" borderId="0" xfId="0"/>
    <xf numFmtId="0" fontId="2" fillId="0" borderId="4" xfId="0" applyFont="1" applyBorder="1"/>
    <xf numFmtId="0" fontId="2" fillId="0" borderId="1" xfId="0" applyFont="1" applyBorder="1"/>
    <xf numFmtId="0" fontId="2" fillId="0" borderId="1" xfId="0" quotePrefix="1" applyFont="1" applyBorder="1"/>
    <xf numFmtId="0" fontId="0" fillId="0" borderId="1" xfId="0" applyBorder="1"/>
    <xf numFmtId="0" fontId="2" fillId="0" borderId="5" xfId="0" applyFont="1" applyBorder="1"/>
    <xf numFmtId="0" fontId="0" fillId="0" borderId="5" xfId="0" applyBorder="1"/>
    <xf numFmtId="0" fontId="0" fillId="0" borderId="0" xfId="0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/>
    </xf>
    <xf numFmtId="14" fontId="0" fillId="0" borderId="0" xfId="0" applyNumberFormat="1"/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165" fontId="0" fillId="0" borderId="1" xfId="1" applyNumberFormat="1" applyFont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165" fontId="6" fillId="0" borderId="1" xfId="1" applyNumberFormat="1" applyFont="1" applyBorder="1" applyAlignment="1">
      <alignment horizontal="center" vertical="center" wrapText="1"/>
    </xf>
    <xf numFmtId="165" fontId="6" fillId="2" borderId="1" xfId="1" applyNumberFormat="1" applyFont="1" applyFill="1" applyBorder="1" applyAlignment="1">
      <alignment horizontal="center" vertical="center" wrapText="1"/>
    </xf>
    <xf numFmtId="165" fontId="5" fillId="2" borderId="1" xfId="1" applyNumberFormat="1" applyFont="1" applyFill="1" applyBorder="1" applyAlignment="1">
      <alignment horizontal="center" vertical="center" wrapText="1"/>
    </xf>
    <xf numFmtId="165" fontId="0" fillId="0" borderId="0" xfId="1" applyNumberFormat="1" applyFont="1"/>
    <xf numFmtId="0" fontId="7" fillId="0" borderId="1" xfId="0" applyFont="1" applyBorder="1"/>
    <xf numFmtId="9" fontId="7" fillId="0" borderId="1" xfId="0" applyNumberFormat="1" applyFont="1" applyBorder="1"/>
    <xf numFmtId="10" fontId="7" fillId="0" borderId="1" xfId="0" applyNumberFormat="1" applyFont="1" applyBorder="1"/>
    <xf numFmtId="0" fontId="7" fillId="0" borderId="1" xfId="0" applyFont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</dxf>
    <dxf>
      <border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FC9972B-1976-4FBD-B7B1-F42B53791F54}" name="ds_kh" displayName="ds_kh" ref="A1:D24" totalsRowShown="0" headerRowDxfId="8" dataDxfId="6" headerRowBorderDxfId="7" tableBorderDxfId="5" totalsRowBorderDxfId="4">
  <autoFilter ref="A1:D24" xr:uid="{1FC9972B-1976-4FBD-B7B1-F42B53791F54}"/>
  <tableColumns count="4">
    <tableColumn id="1" xr3:uid="{BEC9021A-4963-44E4-B7D6-FBC82E3A2D15}" name="MaKH" dataDxfId="3"/>
    <tableColumn id="2" xr3:uid="{E446DEE9-66A9-4CD5-8C77-536847115920}" name="TenKhachHang" dataDxfId="2"/>
    <tableColumn id="3" xr3:uid="{B2D8626B-E2C5-4278-A77F-B0C8AC048D2B}" name="SoDienThoai" dataDxfId="1"/>
    <tableColumn id="4" xr3:uid="{B90C4514-19CA-4907-B699-743E77004CB8}" name="DiaChi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outlinePr summaryBelow="0" summaryRight="0"/>
  </sheetPr>
  <dimension ref="A1:D24"/>
  <sheetViews>
    <sheetView workbookViewId="0">
      <selection activeCell="B30" sqref="B30"/>
    </sheetView>
  </sheetViews>
  <sheetFormatPr defaultColWidth="12.5703125" defaultRowHeight="15.75" customHeight="1" x14ac:dyDescent="0.2"/>
  <cols>
    <col min="1" max="1" width="7.28515625" customWidth="1"/>
    <col min="2" max="2" width="27" bestFit="1" customWidth="1"/>
    <col min="3" max="3" width="14.85546875" customWidth="1"/>
    <col min="4" max="4" width="50" bestFit="1" customWidth="1"/>
  </cols>
  <sheetData>
    <row r="1" spans="1:4" s="7" customFormat="1" ht="32.25" customHeight="1" x14ac:dyDescent="0.2">
      <c r="A1" s="8" t="s">
        <v>1</v>
      </c>
      <c r="B1" s="9" t="s">
        <v>9</v>
      </c>
      <c r="C1" s="9" t="s">
        <v>10</v>
      </c>
      <c r="D1" s="9" t="s">
        <v>11</v>
      </c>
    </row>
    <row r="2" spans="1:4" ht="12.75" x14ac:dyDescent="0.2">
      <c r="A2" s="1" t="s">
        <v>12</v>
      </c>
      <c r="B2" s="2" t="s">
        <v>13</v>
      </c>
      <c r="C2" s="3" t="s">
        <v>14</v>
      </c>
      <c r="D2" s="2" t="s">
        <v>15</v>
      </c>
    </row>
    <row r="3" spans="1:4" ht="12.75" x14ac:dyDescent="0.2">
      <c r="A3" s="1" t="s">
        <v>16</v>
      </c>
      <c r="B3" s="2" t="s">
        <v>17</v>
      </c>
      <c r="C3" s="3" t="s">
        <v>18</v>
      </c>
      <c r="D3" s="2" t="s">
        <v>15</v>
      </c>
    </row>
    <row r="4" spans="1:4" ht="12.75" x14ac:dyDescent="0.2">
      <c r="A4" s="1" t="s">
        <v>19</v>
      </c>
      <c r="B4" s="2" t="s">
        <v>20</v>
      </c>
      <c r="C4" s="3" t="s">
        <v>21</v>
      </c>
      <c r="D4" s="2" t="s">
        <v>15</v>
      </c>
    </row>
    <row r="5" spans="1:4" ht="12.75" x14ac:dyDescent="0.2">
      <c r="A5" s="1" t="s">
        <v>22</v>
      </c>
      <c r="B5" s="2" t="s">
        <v>23</v>
      </c>
      <c r="C5" s="4"/>
      <c r="D5" s="2" t="s">
        <v>15</v>
      </c>
    </row>
    <row r="6" spans="1:4" ht="12.75" x14ac:dyDescent="0.2">
      <c r="A6" s="1" t="s">
        <v>24</v>
      </c>
      <c r="B6" s="2" t="s">
        <v>25</v>
      </c>
      <c r="C6" s="3" t="s">
        <v>26</v>
      </c>
      <c r="D6" s="2" t="s">
        <v>15</v>
      </c>
    </row>
    <row r="7" spans="1:4" ht="12.75" x14ac:dyDescent="0.2">
      <c r="A7" s="1" t="s">
        <v>27</v>
      </c>
      <c r="B7" s="2" t="s">
        <v>28</v>
      </c>
      <c r="C7" s="3" t="s">
        <v>29</v>
      </c>
      <c r="D7" s="2" t="s">
        <v>15</v>
      </c>
    </row>
    <row r="8" spans="1:4" ht="12.75" x14ac:dyDescent="0.2">
      <c r="A8" s="1" t="s">
        <v>30</v>
      </c>
      <c r="B8" s="2" t="s">
        <v>32</v>
      </c>
      <c r="C8" s="3" t="s">
        <v>33</v>
      </c>
      <c r="D8" s="2" t="s">
        <v>15</v>
      </c>
    </row>
    <row r="9" spans="1:4" ht="12.75" x14ac:dyDescent="0.2">
      <c r="A9" s="1" t="s">
        <v>31</v>
      </c>
      <c r="B9" s="2" t="s">
        <v>34</v>
      </c>
      <c r="C9" s="3" t="s">
        <v>35</v>
      </c>
      <c r="D9" s="2" t="s">
        <v>15</v>
      </c>
    </row>
    <row r="10" spans="1:4" ht="12.75" x14ac:dyDescent="0.2">
      <c r="A10" s="1" t="s">
        <v>89</v>
      </c>
      <c r="B10" s="2" t="s">
        <v>37</v>
      </c>
      <c r="C10" s="3" t="s">
        <v>38</v>
      </c>
      <c r="D10" s="10" t="s">
        <v>39</v>
      </c>
    </row>
    <row r="11" spans="1:4" ht="12.75" x14ac:dyDescent="0.2">
      <c r="A11" s="1" t="s">
        <v>36</v>
      </c>
      <c r="B11" s="2" t="s">
        <v>41</v>
      </c>
      <c r="C11" s="4"/>
      <c r="D11" s="2" t="s">
        <v>15</v>
      </c>
    </row>
    <row r="12" spans="1:4" ht="12.75" x14ac:dyDescent="0.2">
      <c r="A12" s="1" t="s">
        <v>40</v>
      </c>
      <c r="B12" s="2" t="s">
        <v>43</v>
      </c>
      <c r="C12" s="3" t="s">
        <v>44</v>
      </c>
      <c r="D12" s="2" t="s">
        <v>15</v>
      </c>
    </row>
    <row r="13" spans="1:4" ht="12.75" x14ac:dyDescent="0.2">
      <c r="A13" s="1" t="s">
        <v>42</v>
      </c>
      <c r="B13" s="2" t="s">
        <v>46</v>
      </c>
      <c r="C13" s="4"/>
      <c r="D13" s="2" t="s">
        <v>15</v>
      </c>
    </row>
    <row r="14" spans="1:4" ht="12.75" x14ac:dyDescent="0.2">
      <c r="A14" s="1" t="s">
        <v>45</v>
      </c>
      <c r="B14" s="2" t="s">
        <v>48</v>
      </c>
      <c r="C14" s="3" t="s">
        <v>49</v>
      </c>
      <c r="D14" s="2" t="s">
        <v>15</v>
      </c>
    </row>
    <row r="15" spans="1:4" ht="12.75" x14ac:dyDescent="0.2">
      <c r="A15" s="1" t="s">
        <v>47</v>
      </c>
      <c r="B15" s="2" t="s">
        <v>51</v>
      </c>
      <c r="C15" s="3" t="s">
        <v>52</v>
      </c>
      <c r="D15" s="2" t="s">
        <v>15</v>
      </c>
    </row>
    <row r="16" spans="1:4" ht="12.75" x14ac:dyDescent="0.2">
      <c r="A16" s="1" t="s">
        <v>50</v>
      </c>
      <c r="B16" s="2" t="s">
        <v>54</v>
      </c>
      <c r="C16" s="3" t="s">
        <v>55</v>
      </c>
      <c r="D16" s="2" t="s">
        <v>15</v>
      </c>
    </row>
    <row r="17" spans="1:4" ht="12.75" x14ac:dyDescent="0.2">
      <c r="A17" s="1" t="s">
        <v>53</v>
      </c>
      <c r="B17" s="5" t="s">
        <v>57</v>
      </c>
      <c r="C17" s="6"/>
      <c r="D17" s="5" t="s">
        <v>15</v>
      </c>
    </row>
    <row r="18" spans="1:4" ht="15.75" customHeight="1" x14ac:dyDescent="0.2">
      <c r="A18" s="1" t="s">
        <v>56</v>
      </c>
      <c r="B18" s="2" t="s">
        <v>59</v>
      </c>
      <c r="C18" s="2"/>
      <c r="D18" s="5" t="s">
        <v>15</v>
      </c>
    </row>
    <row r="19" spans="1:4" ht="15.75" customHeight="1" x14ac:dyDescent="0.2">
      <c r="A19" s="1" t="s">
        <v>58</v>
      </c>
      <c r="B19" s="5" t="s">
        <v>61</v>
      </c>
      <c r="C19" s="5"/>
      <c r="D19" s="2" t="s">
        <v>15</v>
      </c>
    </row>
    <row r="20" spans="1:4" ht="15.75" customHeight="1" x14ac:dyDescent="0.2">
      <c r="A20" s="1" t="s">
        <v>7</v>
      </c>
      <c r="B20" s="2" t="s">
        <v>63</v>
      </c>
      <c r="C20" s="2"/>
      <c r="D20" s="2" t="s">
        <v>15</v>
      </c>
    </row>
    <row r="21" spans="1:4" ht="15.75" customHeight="1" x14ac:dyDescent="0.2">
      <c r="A21" s="1" t="s">
        <v>6</v>
      </c>
      <c r="B21" s="2" t="s">
        <v>65</v>
      </c>
      <c r="C21" s="2"/>
      <c r="D21" s="2" t="s">
        <v>15</v>
      </c>
    </row>
    <row r="22" spans="1:4" ht="15.75" customHeight="1" x14ac:dyDescent="0.2">
      <c r="A22" s="1" t="s">
        <v>60</v>
      </c>
      <c r="B22" s="2" t="s">
        <v>66</v>
      </c>
      <c r="C22" s="2"/>
      <c r="D22" s="2" t="s">
        <v>15</v>
      </c>
    </row>
    <row r="23" spans="1:4" ht="15.75" customHeight="1" x14ac:dyDescent="0.2">
      <c r="A23" s="1" t="s">
        <v>62</v>
      </c>
      <c r="B23" s="2" t="s">
        <v>67</v>
      </c>
      <c r="C23" s="2"/>
      <c r="D23" s="2" t="s">
        <v>15</v>
      </c>
    </row>
    <row r="24" spans="1:4" ht="15.75" customHeight="1" x14ac:dyDescent="0.2">
      <c r="A24" s="1" t="s">
        <v>64</v>
      </c>
      <c r="B24" s="2" t="s">
        <v>69</v>
      </c>
      <c r="C24" s="2"/>
      <c r="D24" s="2" t="s">
        <v>15</v>
      </c>
    </row>
  </sheetData>
  <phoneticPr fontId="4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3DC771-A6D0-47B1-ACCB-A1AB8C208A36}">
  <dimension ref="A1:G21"/>
  <sheetViews>
    <sheetView workbookViewId="0">
      <selection activeCell="E2" sqref="E2:E21"/>
    </sheetView>
  </sheetViews>
  <sheetFormatPr defaultRowHeight="12.75" x14ac:dyDescent="0.2"/>
  <cols>
    <col min="1" max="1" width="9.85546875" bestFit="1" customWidth="1"/>
    <col min="2" max="2" width="11.140625" bestFit="1" customWidth="1"/>
    <col min="3" max="3" width="8.42578125" bestFit="1" customWidth="1"/>
    <col min="4" max="4" width="27" bestFit="1" customWidth="1"/>
    <col min="5" max="5" width="14" bestFit="1" customWidth="1"/>
    <col min="6" max="6" width="15.5703125" bestFit="1" customWidth="1"/>
    <col min="7" max="7" width="14.85546875" style="11" customWidth="1"/>
  </cols>
  <sheetData>
    <row r="1" spans="1:7" ht="29.25" customHeight="1" x14ac:dyDescent="0.2">
      <c r="A1" s="12" t="s">
        <v>90</v>
      </c>
      <c r="B1" s="12" t="s">
        <v>0</v>
      </c>
      <c r="C1" s="12" t="s">
        <v>1</v>
      </c>
      <c r="D1" s="12" t="s">
        <v>2</v>
      </c>
      <c r="E1" s="12" t="s">
        <v>3</v>
      </c>
      <c r="F1" s="12" t="s">
        <v>4</v>
      </c>
      <c r="G1" s="13" t="s">
        <v>5</v>
      </c>
    </row>
    <row r="2" spans="1:7" x14ac:dyDescent="0.2">
      <c r="A2" s="12">
        <v>1</v>
      </c>
      <c r="B2" s="12" t="s">
        <v>8</v>
      </c>
      <c r="C2" s="12" t="s">
        <v>64</v>
      </c>
      <c r="D2" s="12" t="s">
        <v>65</v>
      </c>
      <c r="E2" s="14">
        <v>5000000</v>
      </c>
      <c r="F2" s="14">
        <v>2500</v>
      </c>
      <c r="G2" s="13">
        <v>46146</v>
      </c>
    </row>
    <row r="3" spans="1:7" x14ac:dyDescent="0.2">
      <c r="A3" s="12">
        <v>2</v>
      </c>
      <c r="B3" s="12" t="s">
        <v>70</v>
      </c>
      <c r="C3" s="12" t="s">
        <v>42</v>
      </c>
      <c r="D3" s="12" t="s">
        <v>43</v>
      </c>
      <c r="E3" s="14">
        <v>20000000</v>
      </c>
      <c r="F3" s="14">
        <v>2500</v>
      </c>
      <c r="G3" s="13">
        <v>46178</v>
      </c>
    </row>
    <row r="4" spans="1:7" x14ac:dyDescent="0.2">
      <c r="A4" s="12">
        <v>3</v>
      </c>
      <c r="B4" s="12" t="s">
        <v>71</v>
      </c>
      <c r="C4" s="12" t="s">
        <v>27</v>
      </c>
      <c r="D4" s="12" t="s">
        <v>28</v>
      </c>
      <c r="E4" s="14">
        <v>6938375</v>
      </c>
      <c r="F4" s="14">
        <v>2500</v>
      </c>
      <c r="G4" s="13">
        <v>46181</v>
      </c>
    </row>
    <row r="5" spans="1:7" x14ac:dyDescent="0.2">
      <c r="A5" s="12">
        <v>4</v>
      </c>
      <c r="B5" s="12" t="s">
        <v>72</v>
      </c>
      <c r="C5" s="12" t="s">
        <v>68</v>
      </c>
      <c r="D5" s="12" t="s">
        <v>69</v>
      </c>
      <c r="E5" s="14">
        <v>5000000</v>
      </c>
      <c r="F5" s="14">
        <v>2500</v>
      </c>
      <c r="G5" s="13">
        <v>46183</v>
      </c>
    </row>
    <row r="6" spans="1:7" x14ac:dyDescent="0.2">
      <c r="A6" s="12">
        <v>5</v>
      </c>
      <c r="B6" s="12" t="s">
        <v>73</v>
      </c>
      <c r="C6" s="12" t="s">
        <v>47</v>
      </c>
      <c r="D6" s="12" t="s">
        <v>48</v>
      </c>
      <c r="E6" s="14">
        <v>5000000</v>
      </c>
      <c r="F6" s="14">
        <v>2500</v>
      </c>
      <c r="G6" s="13">
        <v>46184</v>
      </c>
    </row>
    <row r="7" spans="1:7" x14ac:dyDescent="0.2">
      <c r="A7" s="12">
        <v>6</v>
      </c>
      <c r="B7" s="12" t="s">
        <v>74</v>
      </c>
      <c r="C7" s="12" t="s">
        <v>58</v>
      </c>
      <c r="D7" s="12" t="s">
        <v>59</v>
      </c>
      <c r="E7" s="14">
        <v>20000000</v>
      </c>
      <c r="F7" s="14">
        <v>1700</v>
      </c>
      <c r="G7" s="13">
        <v>46185</v>
      </c>
    </row>
    <row r="8" spans="1:7" x14ac:dyDescent="0.2">
      <c r="A8" s="12">
        <v>7</v>
      </c>
      <c r="B8" s="12" t="s">
        <v>75</v>
      </c>
      <c r="C8" s="12" t="s">
        <v>12</v>
      </c>
      <c r="D8" s="12" t="s">
        <v>13</v>
      </c>
      <c r="E8" s="14">
        <v>6000000</v>
      </c>
      <c r="F8" s="14">
        <v>2500</v>
      </c>
      <c r="G8" s="13">
        <v>46186</v>
      </c>
    </row>
    <row r="9" spans="1:7" x14ac:dyDescent="0.2">
      <c r="A9" s="12">
        <v>8</v>
      </c>
      <c r="B9" s="12" t="s">
        <v>76</v>
      </c>
      <c r="C9" s="12" t="s">
        <v>16</v>
      </c>
      <c r="D9" s="12" t="s">
        <v>17</v>
      </c>
      <c r="E9" s="14">
        <v>15000000</v>
      </c>
      <c r="F9" s="14">
        <v>2500</v>
      </c>
      <c r="G9" s="13">
        <v>46187</v>
      </c>
    </row>
    <row r="10" spans="1:7" x14ac:dyDescent="0.2">
      <c r="A10" s="12">
        <v>9</v>
      </c>
      <c r="B10" s="12" t="s">
        <v>77</v>
      </c>
      <c r="C10" s="12" t="s">
        <v>19</v>
      </c>
      <c r="D10" s="12" t="s">
        <v>20</v>
      </c>
      <c r="E10" s="14">
        <v>5000000</v>
      </c>
      <c r="F10" s="14">
        <v>2500</v>
      </c>
      <c r="G10" s="13">
        <v>46188</v>
      </c>
    </row>
    <row r="11" spans="1:7" x14ac:dyDescent="0.2">
      <c r="A11" s="12">
        <v>10</v>
      </c>
      <c r="B11" s="12" t="s">
        <v>78</v>
      </c>
      <c r="C11" s="12" t="s">
        <v>22</v>
      </c>
      <c r="D11" s="12" t="s">
        <v>23</v>
      </c>
      <c r="E11" s="14">
        <v>10000000</v>
      </c>
      <c r="F11" s="14">
        <v>2500</v>
      </c>
      <c r="G11" s="13">
        <v>46189</v>
      </c>
    </row>
    <row r="12" spans="1:7" x14ac:dyDescent="0.2">
      <c r="A12" s="12">
        <v>11</v>
      </c>
      <c r="B12" s="12" t="s">
        <v>79</v>
      </c>
      <c r="C12" s="12" t="s">
        <v>50</v>
      </c>
      <c r="D12" s="12" t="s">
        <v>51</v>
      </c>
      <c r="E12" s="14">
        <v>10000000</v>
      </c>
      <c r="F12" s="14">
        <v>2500</v>
      </c>
      <c r="G12" s="13">
        <v>46160</v>
      </c>
    </row>
    <row r="13" spans="1:7" x14ac:dyDescent="0.2">
      <c r="A13" s="12">
        <v>12</v>
      </c>
      <c r="B13" s="12" t="s">
        <v>80</v>
      </c>
      <c r="C13" s="12" t="s">
        <v>27</v>
      </c>
      <c r="D13" s="12" t="s">
        <v>28</v>
      </c>
      <c r="E13" s="14">
        <v>10000000</v>
      </c>
      <c r="F13" s="14">
        <v>2500</v>
      </c>
      <c r="G13" s="13">
        <v>46161</v>
      </c>
    </row>
    <row r="14" spans="1:7" x14ac:dyDescent="0.2">
      <c r="A14" s="12">
        <v>13</v>
      </c>
      <c r="B14" s="12" t="s">
        <v>81</v>
      </c>
      <c r="C14" s="12" t="s">
        <v>60</v>
      </c>
      <c r="D14" s="12" t="s">
        <v>61</v>
      </c>
      <c r="E14" s="14">
        <v>20000000</v>
      </c>
      <c r="F14" s="14">
        <v>2000</v>
      </c>
      <c r="G14" s="13">
        <v>46193</v>
      </c>
    </row>
    <row r="15" spans="1:7" x14ac:dyDescent="0.2">
      <c r="A15" s="12">
        <v>14</v>
      </c>
      <c r="B15" s="12" t="s">
        <v>82</v>
      </c>
      <c r="C15" s="12" t="s">
        <v>62</v>
      </c>
      <c r="D15" s="12" t="s">
        <v>63</v>
      </c>
      <c r="E15" s="14">
        <v>1000000</v>
      </c>
      <c r="F15" s="14">
        <v>0</v>
      </c>
      <c r="G15" s="13">
        <v>46012</v>
      </c>
    </row>
    <row r="16" spans="1:7" x14ac:dyDescent="0.2">
      <c r="A16" s="12">
        <v>15</v>
      </c>
      <c r="B16" s="12" t="s">
        <v>83</v>
      </c>
      <c r="C16" s="12" t="s">
        <v>56</v>
      </c>
      <c r="D16" s="12" t="s">
        <v>57</v>
      </c>
      <c r="E16" s="14">
        <v>5000000</v>
      </c>
      <c r="F16" s="14">
        <v>2000</v>
      </c>
      <c r="G16" s="13">
        <v>46163</v>
      </c>
    </row>
    <row r="17" spans="1:7" x14ac:dyDescent="0.2">
      <c r="A17" s="12">
        <v>16</v>
      </c>
      <c r="B17" s="12" t="s">
        <v>84</v>
      </c>
      <c r="C17" s="12" t="s">
        <v>64</v>
      </c>
      <c r="D17" s="12" t="s">
        <v>65</v>
      </c>
      <c r="E17" s="14">
        <v>5000000</v>
      </c>
      <c r="F17" s="14">
        <v>2500</v>
      </c>
      <c r="G17" s="13">
        <v>46163</v>
      </c>
    </row>
    <row r="18" spans="1:7" x14ac:dyDescent="0.2">
      <c r="A18" s="12">
        <v>17</v>
      </c>
      <c r="B18" s="12" t="s">
        <v>86</v>
      </c>
      <c r="C18" s="12" t="s">
        <v>31</v>
      </c>
      <c r="D18" s="12" t="s">
        <v>32</v>
      </c>
      <c r="E18" s="14">
        <v>10000000</v>
      </c>
      <c r="F18" s="14">
        <v>2500</v>
      </c>
      <c r="G18" s="13">
        <v>46167</v>
      </c>
    </row>
    <row r="19" spans="1:7" x14ac:dyDescent="0.2">
      <c r="A19" s="12">
        <v>18</v>
      </c>
      <c r="B19" s="12" t="s">
        <v>85</v>
      </c>
      <c r="C19" s="12" t="s">
        <v>24</v>
      </c>
      <c r="D19" s="12" t="s">
        <v>25</v>
      </c>
      <c r="E19" s="14">
        <v>5000000</v>
      </c>
      <c r="F19" s="14">
        <v>2500</v>
      </c>
      <c r="G19" s="13">
        <v>46170</v>
      </c>
    </row>
    <row r="20" spans="1:7" x14ac:dyDescent="0.2">
      <c r="A20" s="12">
        <v>19</v>
      </c>
      <c r="B20" s="12" t="s">
        <v>87</v>
      </c>
      <c r="C20" s="12" t="s">
        <v>36</v>
      </c>
      <c r="D20" s="12" t="s">
        <v>37</v>
      </c>
      <c r="E20" s="14">
        <v>10000000</v>
      </c>
      <c r="F20" s="14">
        <v>2500</v>
      </c>
      <c r="G20" s="13">
        <v>46170</v>
      </c>
    </row>
    <row r="21" spans="1:7" x14ac:dyDescent="0.2">
      <c r="A21" s="12">
        <v>20</v>
      </c>
      <c r="B21" s="12" t="s">
        <v>88</v>
      </c>
      <c r="C21" s="12" t="s">
        <v>40</v>
      </c>
      <c r="D21" s="12" t="s">
        <v>41</v>
      </c>
      <c r="E21" s="14">
        <v>5000000</v>
      </c>
      <c r="F21" s="14">
        <v>2000</v>
      </c>
      <c r="G21" s="13">
        <v>46172</v>
      </c>
    </row>
  </sheetData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D0D550-3033-4912-8B3D-E8BD0E95F41A}">
  <dimension ref="A1:D24"/>
  <sheetViews>
    <sheetView tabSelected="1" workbookViewId="0">
      <selection activeCell="K14" sqref="K14"/>
    </sheetView>
  </sheetViews>
  <sheetFormatPr defaultRowHeight="12.75" x14ac:dyDescent="0.2"/>
  <cols>
    <col min="1" max="1" width="25.85546875" customWidth="1"/>
    <col min="2" max="3" width="18.140625" customWidth="1"/>
    <col min="4" max="4" width="14.5703125" customWidth="1"/>
  </cols>
  <sheetData>
    <row r="1" spans="1:4" ht="26.25" customHeight="1" x14ac:dyDescent="0.2">
      <c r="A1" s="15" t="s">
        <v>91</v>
      </c>
      <c r="B1" s="15" t="s">
        <v>92</v>
      </c>
      <c r="C1" s="19" t="s">
        <v>93</v>
      </c>
      <c r="D1" s="24" t="s">
        <v>98</v>
      </c>
    </row>
    <row r="2" spans="1:4" x14ac:dyDescent="0.2">
      <c r="A2" s="16" t="s">
        <v>94</v>
      </c>
      <c r="B2" s="16" t="s">
        <v>95</v>
      </c>
      <c r="C2" s="17">
        <v>0</v>
      </c>
      <c r="D2" s="21">
        <v>0</v>
      </c>
    </row>
    <row r="3" spans="1:4" x14ac:dyDescent="0.2">
      <c r="A3" s="16" t="s">
        <v>102</v>
      </c>
      <c r="B3" s="16" t="s">
        <v>99</v>
      </c>
      <c r="C3" s="17">
        <f>200000000-C4-C5</f>
        <v>139000000</v>
      </c>
      <c r="D3" s="22">
        <v>0.01</v>
      </c>
    </row>
    <row r="4" spans="1:4" ht="25.5" x14ac:dyDescent="0.2">
      <c r="A4" s="15" t="s">
        <v>100</v>
      </c>
      <c r="B4" s="15" t="s">
        <v>96</v>
      </c>
      <c r="C4" s="18">
        <v>41000000</v>
      </c>
      <c r="D4" s="23">
        <v>1.7000000000000001E-2</v>
      </c>
    </row>
    <row r="5" spans="1:4" ht="25.5" x14ac:dyDescent="0.2">
      <c r="A5" s="15" t="s">
        <v>101</v>
      </c>
      <c r="B5" s="15" t="s">
        <v>97</v>
      </c>
      <c r="C5" s="14">
        <v>20000000</v>
      </c>
      <c r="D5" s="23">
        <v>1.7000000000000001E-2</v>
      </c>
    </row>
    <row r="8" spans="1:4" x14ac:dyDescent="0.2">
      <c r="C8" s="20"/>
    </row>
    <row r="9" spans="1:4" x14ac:dyDescent="0.2">
      <c r="C9" s="20"/>
    </row>
    <row r="10" spans="1:4" x14ac:dyDescent="0.2">
      <c r="C10" s="20"/>
    </row>
    <row r="11" spans="1:4" x14ac:dyDescent="0.2">
      <c r="C11" s="20"/>
    </row>
    <row r="12" spans="1:4" x14ac:dyDescent="0.2">
      <c r="C12" s="20"/>
    </row>
    <row r="13" spans="1:4" x14ac:dyDescent="0.2">
      <c r="C13" s="20"/>
    </row>
    <row r="14" spans="1:4" x14ac:dyDescent="0.2">
      <c r="C14" s="20"/>
    </row>
    <row r="15" spans="1:4" x14ac:dyDescent="0.2">
      <c r="C15" s="20"/>
    </row>
    <row r="16" spans="1:4" x14ac:dyDescent="0.2">
      <c r="C16" s="20"/>
    </row>
    <row r="17" spans="3:3" x14ac:dyDescent="0.2">
      <c r="C17" s="20"/>
    </row>
    <row r="18" spans="3:3" x14ac:dyDescent="0.2">
      <c r="C18" s="20"/>
    </row>
    <row r="19" spans="3:3" x14ac:dyDescent="0.2">
      <c r="C19" s="20"/>
    </row>
    <row r="20" spans="3:3" x14ac:dyDescent="0.2">
      <c r="C20" s="20"/>
    </row>
    <row r="21" spans="3:3" x14ac:dyDescent="0.2">
      <c r="C21" s="20"/>
    </row>
    <row r="22" spans="3:3" x14ac:dyDescent="0.2">
      <c r="C22" s="20"/>
    </row>
    <row r="23" spans="3:3" x14ac:dyDescent="0.2">
      <c r="C23" s="20"/>
    </row>
    <row r="24" spans="3:3" x14ac:dyDescent="0.2">
      <c r="C24" s="2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KhachHang</vt:lpstr>
      <vt:lpstr>HopDong</vt:lpstr>
      <vt:lpstr>NguonVon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vu nghi</dc:creator>
  <cp:keywords/>
  <dc:description/>
  <cp:lastModifiedBy>vu nghi</cp:lastModifiedBy>
  <cp:revision/>
  <dcterms:created xsi:type="dcterms:W3CDTF">2025-10-06T16:19:49Z</dcterms:created>
  <dcterms:modified xsi:type="dcterms:W3CDTF">2026-06-20T15:19:55Z</dcterms:modified>
  <cp:category/>
  <cp:contentStatus/>
</cp:coreProperties>
</file>